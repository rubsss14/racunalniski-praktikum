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w01050\RP\racunalniski-praktikum\10-razpredelnice\"/>
    </mc:Choice>
  </mc:AlternateContent>
  <xr:revisionPtr revIDLastSave="0" documentId="13_ncr:1_{1CB2AE2F-6E9A-4DCA-9C7E-544BFFEA51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raba" sheetId="4" r:id="rId1"/>
  </sheets>
  <definedNames>
    <definedName name="ExternalData_1" localSheetId="0" hidden="1">Poraba!$B$2:$G$21</definedName>
  </definedNames>
  <calcPr calcId="191029"/>
  <pivotCaches>
    <pivotCache cacheId="5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4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3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6C95C-D253-FC48-901C-EE7A0BEA25FD}" keepAlive="1" name="Query - realna-poraba-cupra" description="Connection to the 'realna-poraba-cupra' query in the workbook." type="5" refreshedVersion="8" background="1" saveData="1">
    <dbPr connection="Provider=Microsoft.Mashup.OleDb.1;Data Source=$Workbook$;Location=realna-poraba-cupra;Extended Properties=&quot;&quot;" command="SELECT * FROM [realna-poraba-cupra]"/>
  </connection>
  <connection id="2" xr16:uid="{823E546F-882E-9449-8E47-002173931B18}" keepAlive="1" name="Query - realna-poraba-cupra (2)" description="Connection to the 'realna-poraba-cupra (2)' query in the workbook." type="5" refreshedVersion="8" background="1" saveData="1">
    <dbPr connection="Provider=Microsoft.Mashup.OleDb.1;Data Source=$Workbook$;Location=&quot;realna-poraba-cupra (2)&quot;;Extended Properties=&quot;&quot;" command="SELECT * FROM [realna-poraba-cupra (2)]"/>
  </connection>
</connections>
</file>

<file path=xl/sharedStrings.xml><?xml version="1.0" encoding="utf-8"?>
<sst xmlns="http://schemas.openxmlformats.org/spreadsheetml/2006/main" count="21" uniqueCount="20">
  <si>
    <t>Bencin</t>
  </si>
  <si>
    <t>Veljavnost</t>
  </si>
  <si>
    <t>Datum</t>
  </si>
  <si>
    <t>Litri</t>
  </si>
  <si>
    <t/>
  </si>
  <si>
    <t>Števec</t>
  </si>
  <si>
    <t>Poraba</t>
  </si>
  <si>
    <t>Prevoženo</t>
  </si>
  <si>
    <t>Plačano</t>
  </si>
  <si>
    <t>Prikaz</t>
  </si>
  <si>
    <t>May</t>
  </si>
  <si>
    <t>Jun</t>
  </si>
  <si>
    <t>Jul</t>
  </si>
  <si>
    <t>Aug</t>
  </si>
  <si>
    <t>Sept</t>
  </si>
  <si>
    <t>Oct</t>
  </si>
  <si>
    <t>Mesec</t>
  </si>
  <si>
    <t>Skupaj km</t>
  </si>
  <si>
    <t>Povprečna poraba</t>
  </si>
  <si>
    <t>Vrednosti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</si>
</sst>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\ &quot;€/l&quot;"/>
    <numFmt numFmtId="167" formatCode="d\.mm\.yy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167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22">
    <dxf>
      <numFmt numFmtId="2" formatCode="0.00"/>
    </dxf>
    <dxf>
      <numFmt numFmtId="2" formatCode="0.00"/>
    </dxf>
    <dxf>
      <numFmt numFmtId="2" formatCode="0.00"/>
    </dxf>
    <dxf>
      <numFmt numFmtId="169" formatCode="0.000"/>
    </dxf>
    <dxf>
      <numFmt numFmtId="2" formatCode="0.00"/>
    </dxf>
    <dxf>
      <numFmt numFmtId="168" formatCode="0.0000"/>
    </dxf>
    <dxf>
      <numFmt numFmtId="173" formatCode="0.00000"/>
    </dxf>
    <dxf>
      <numFmt numFmtId="172" formatCode="0.000000"/>
    </dxf>
    <dxf>
      <numFmt numFmtId="171" formatCode="0.0000000"/>
    </dxf>
    <dxf>
      <numFmt numFmtId="170" formatCode="0.00000000"/>
    </dxf>
    <dxf>
      <numFmt numFmtId="2" formatCode="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7" formatCode="d\.mm\.yy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BB59"/>
        </top>
        <bottom style="thin">
          <color rgb="FF9BBB59"/>
        </bottom>
      </border>
    </dxf>
    <dxf>
      <numFmt numFmtId="167" formatCode="d\.mm\.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4" formatCode="0.000\ &quot;€/l&quot;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9BBB59"/>
        </left>
        <right/>
        <top style="thin">
          <color rgb="FF9BBB59"/>
        </top>
        <bottom style="thin">
          <color rgb="FF9BBB59"/>
        </bottom>
      </border>
    </dxf>
    <dxf>
      <border outline="0">
        <top style="thin">
          <color rgb="FF9BBB59"/>
        </top>
      </border>
    </dxf>
    <dxf>
      <border outline="0"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border outline="0">
        <bottom style="medium">
          <color rgb="FF9BBB59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heeler, Reuben" refreshedDate="45996.582006018521" createdVersion="7" refreshedVersion="7" minRefreshableVersion="3" recordCount="19" xr:uid="{3DBF8556-A4D7-4FD7-98E7-70F029AE51C6}">
  <cacheSource type="worksheet">
    <worksheetSource name="realna_poraba_cupra__2"/>
  </cacheSource>
  <cacheFields count="8">
    <cacheField name="Datum" numFmtId="167">
      <sharedItems containsSemiMixedTypes="0" containsNonDate="0" containsDate="1" containsString="0" minDate="2023-05-05T00:00:00" maxDate="2023-10-15T00:00:00" count="19">
        <d v="2023-05-05T00:00:00"/>
        <d v="2023-05-13T00:00:00"/>
        <d v="2023-05-22T00:00:00"/>
        <d v="2023-05-27T00:00:00"/>
        <d v="2023-06-08T00:00:00"/>
        <d v="2023-06-16T00:00:00"/>
        <d v="2023-06-22T00:00:00"/>
        <d v="2023-07-06T00:00:00"/>
        <d v="2023-07-15T00:00:00"/>
        <d v="2023-07-22T00:00:00"/>
        <d v="2023-07-31T00:00:00"/>
        <d v="2023-08-13T00:00:00"/>
        <d v="2023-08-25T00:00:00"/>
        <d v="2023-09-06T00:00:00"/>
        <d v="2023-09-15T00:00:00"/>
        <d v="2023-09-22T00:00:00"/>
        <d v="2023-09-29T00:00:00"/>
        <d v="2023-10-06T00:00:00"/>
        <d v="2023-10-14T00:00:00"/>
      </sharedItems>
      <fieldGroup par="7" base="0">
        <rangePr groupBy="days" startDate="2023-05-05T00:00:00" endDate="2023-10-15T00:00:00"/>
        <groupItems count="368">
          <s v="&lt;05/05/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/10/2023"/>
        </groupItems>
      </fieldGroup>
    </cacheField>
    <cacheField name="Litri" numFmtId="2">
      <sharedItems containsSemiMixedTypes="0" containsString="0" containsNumber="1" minValue="34.04" maxValue="43.1"/>
    </cacheField>
    <cacheField name="Plačano" numFmtId="2">
      <sharedItems containsSemiMixedTypes="0" containsString="0" containsNumber="1" minValue="47.043279999999996" maxValue="64.097279999999998"/>
    </cacheField>
    <cacheField name="Števec" numFmtId="3">
      <sharedItems containsSemiMixedTypes="0" containsString="0" containsNumber="1" containsInteger="1" minValue="41907" maxValue="52176"/>
    </cacheField>
    <cacheField name="Prevoženo" numFmtId="0">
      <sharedItems containsMixedTypes="1" containsNumber="1" containsInteger="1" minValue="446" maxValue="683"/>
    </cacheField>
    <cacheField name="Poraba" numFmtId="0">
      <sharedItems containsMixedTypes="1" containsNumber="1" minValue="6.3103953147877014" maxValue="8.1008968609865484"/>
    </cacheField>
    <cacheField name="Prikaz" numFmtId="2">
      <sharedItems containsMixedTypes="1" containsNumber="1" minValue="6.3103953147877014" maxValue="8.1008968609865484"/>
    </cacheField>
    <cacheField name="Months" numFmtId="0" databaseField="0">
      <fieldGroup base="0">
        <rangePr groupBy="months" startDate="2023-05-05T00:00:00" endDate="2023-10-15T00:00:00"/>
        <groupItems count="14">
          <s v="&lt;05/05/202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5/10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41.17"/>
    <n v="58.296720000000001"/>
    <n v="41907"/>
    <s v=""/>
    <s v=""/>
    <s v=""/>
  </r>
  <r>
    <x v="1"/>
    <n v="43.02"/>
    <n v="59.797800000000002"/>
    <n v="42521"/>
    <n v="614"/>
    <n v="7.006514657980456"/>
    <n v="7.006514657980456"/>
  </r>
  <r>
    <x v="2"/>
    <n v="41.67"/>
    <n v="57.921299999999995"/>
    <n v="43181"/>
    <n v="660"/>
    <n v="6.3136363636363635"/>
    <n v="6.3136363636363635"/>
  </r>
  <r>
    <x v="3"/>
    <n v="34.04"/>
    <n v="47.043279999999996"/>
    <n v="43696"/>
    <n v="515"/>
    <n v="6.6097087378640778"/>
    <n v="6.6097087378640778"/>
  </r>
  <r>
    <x v="4"/>
    <n v="42.42"/>
    <n v="59.897039999999997"/>
    <n v="44314"/>
    <n v="618"/>
    <n v="6.8640776699029127"/>
    <n v="6.8640776699029127"/>
  </r>
  <r>
    <x v="5"/>
    <n v="43.1"/>
    <n v="60.857199999999999"/>
    <n v="44997"/>
    <n v="683"/>
    <n v="6.3103953147877014"/>
    <n v="6.3103953147877014"/>
  </r>
  <r>
    <x v="6"/>
    <n v="38.18"/>
    <n v="54.368319999999997"/>
    <n v="45546"/>
    <n v="549"/>
    <n v="6.9544626593806917"/>
    <n v="6.9544626593806917"/>
  </r>
  <r>
    <x v="7"/>
    <n v="40.659999999999997"/>
    <n v="58.713039999999992"/>
    <n v="46126"/>
    <n v="580"/>
    <n v="7.0103448275862057"/>
    <n v="7.0103448275862057"/>
  </r>
  <r>
    <x v="8"/>
    <n v="39.17"/>
    <n v="56.561480000000003"/>
    <n v="46687"/>
    <n v="561"/>
    <n v="6.9821746880570412"/>
    <n v="6.9821746880570412"/>
  </r>
  <r>
    <x v="9"/>
    <n v="40.29"/>
    <n v="58.662239999999997"/>
    <n v="47250"/>
    <n v="563"/>
    <n v="7.1563055062166967"/>
    <n v="7.1563055062166967"/>
  </r>
  <r>
    <x v="10"/>
    <n v="41.01"/>
    <n v="59.710559999999994"/>
    <n v="47867"/>
    <n v="617"/>
    <n v="6.646677471636953"/>
    <n v="6.646677471636953"/>
  </r>
  <r>
    <x v="11"/>
    <n v="37.18"/>
    <n v="56.178979999999996"/>
    <n v="48407"/>
    <n v="540"/>
    <n v="6.8851851851851853"/>
    <n v="6.8851851851851853"/>
  </r>
  <r>
    <x v="12"/>
    <n v="41.46"/>
    <n v="62.646059999999999"/>
    <n v="49005"/>
    <n v="598"/>
    <n v="6.9331103678929766"/>
    <n v="6.9331103678929766"/>
  </r>
  <r>
    <x v="13"/>
    <n v="35.97"/>
    <n v="55.537680000000002"/>
    <n v="49480"/>
    <n v="475"/>
    <n v="7.5726315789473686"/>
    <n v="7.5726315789473686"/>
  </r>
  <r>
    <x v="14"/>
    <n v="38.74"/>
    <n v="60.085740000000001"/>
    <n v="50012"/>
    <n v="532"/>
    <n v="7.2819548872180455"/>
    <n v="7.2819548872180455"/>
  </r>
  <r>
    <x v="15"/>
    <n v="36.130000000000003"/>
    <n v="56.03763"/>
    <n v="50458"/>
    <n v="446"/>
    <n v="8.1008968609865484"/>
    <n v="8.1008968609865484"/>
  </r>
  <r>
    <x v="16"/>
    <n v="38.51"/>
    <n v="61.153880000000001"/>
    <n v="50991"/>
    <n v="533"/>
    <n v="7.2251407129455911"/>
    <n v="7.2251407129455911"/>
  </r>
  <r>
    <x v="17"/>
    <n v="38.840000000000003"/>
    <n v="61.677920000000007"/>
    <n v="51593"/>
    <n v="602"/>
    <n v="6.4518272425249181"/>
    <n v="6.4518272425249181"/>
  </r>
  <r>
    <x v="18"/>
    <n v="41.73"/>
    <n v="64.097279999999998"/>
    <n v="52176"/>
    <n v="583"/>
    <n v="7.1578044596912518"/>
    <n v="7.15780445969125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1C2E46-4217-424E-8BE5-7E01BC1CB7C0}" name="PivotTable2" cacheId="5" dataOnRows="1" applyNumberFormats="0" applyBorderFormats="0" applyFontFormats="0" applyPatternFormats="0" applyAlignmentFormats="0" applyWidthHeightFormats="1" dataCaption="Vrednosti" updatedVersion="7" minRefreshableVersion="3" useAutoFormatting="1" rowGrandTotals="0" colGrandTotals="0" itemPrintTitles="1" createdVersion="7" indent="0" outline="1" outlineData="1" multipleFieldFilters="0" colHeaderCaption="Mesec">
  <location ref="B23:H26" firstHeaderRow="1" firstDataRow="2" firstDataCol="1"/>
  <pivotFields count="8">
    <pivotField numFmtId="167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" showAll="0"/>
    <pivotField numFmtId="2" showAll="0"/>
    <pivotField numFmtId="3" showAll="0"/>
    <pivotField dataField="1" showAll="0"/>
    <pivotField dataField="1" showAll="0"/>
    <pivotField showAll="0"/>
    <pivotField axis="axisCol" showAll="0">
      <items count="15">
        <item sd="0" x="0"/>
        <item sd="0" x="1"/>
        <item sd="0" x="2"/>
        <item sd="0" x="3"/>
        <item sd="0" x="4"/>
        <item n="May"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-2"/>
  </rowFields>
  <rowItems count="2">
    <i>
      <x/>
    </i>
    <i i="1">
      <x v="1"/>
    </i>
  </rowItems>
  <colFields count="1">
    <field x="7"/>
  </colFields>
  <colItems count="6">
    <i>
      <x v="5"/>
    </i>
    <i>
      <x v="6"/>
    </i>
    <i>
      <x v="7"/>
    </i>
    <i>
      <x v="8"/>
    </i>
    <i>
      <x v="9"/>
    </i>
    <i>
      <x v="10"/>
    </i>
  </colItems>
  <dataFields count="2">
    <dataField name="Skupaj km" fld="4" baseField="7" baseItem="5"/>
    <dataField name="Povprečna poraba" fld="5" subtotal="average" baseField="7" baseItem="0"/>
  </dataFields>
  <formats count="1">
    <format dxfId="4">
      <pivotArea collapsedLevelsAreSubtotals="1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864778-F620-4D44-B290-593D022A2D1C}" autoFormatId="16" applyNumberFormats="0" applyBorderFormats="0" applyFontFormats="0" applyPatternFormats="0" applyAlignmentFormats="0" applyWidthHeightFormats="0">
  <queryTableRefresh nextId="13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1" dataBound="0" tableColumnId="11"/>
    </queryTableFields>
    <queryTableDeletedFields count="2"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08AD5-65CF-A249-80D4-A2A1301BDB4E}" name="realna_poraba_cupra__2" displayName="realna_poraba_cupra__2" ref="B2:H21" tableType="queryTable" totalsRowShown="0">
  <autoFilter ref="B2:H21" xr:uid="{4B308AD5-65CF-A249-80D4-A2A1301BDB4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E4C5B71E-FC31-5C41-A064-103F27749A97}" uniqueName="1" name="Datum" queryTableFieldId="1" dataDxfId="12"/>
    <tableColumn id="2" xr3:uid="{6DC2697C-FCB3-8A47-945B-8CD05834AA8C}" uniqueName="2" name="Litri" queryTableFieldId="2" dataDxfId="21"/>
    <tableColumn id="3" xr3:uid="{19DBC541-3ADF-4E48-8786-6E42DA219788}" uniqueName="3" name="Plačano" queryTableFieldId="3" dataDxfId="20"/>
    <tableColumn id="4" xr3:uid="{3238A9AD-2FC0-0E49-9EE3-7019C05B366B}" uniqueName="4" name="Števec" queryTableFieldId="4" dataDxfId="19"/>
    <tableColumn id="5" xr3:uid="{E0B5480D-9C8F-CA4C-941D-AE9FDE0CDFDC}" uniqueName="5" name="Prevoženo" queryTableFieldId="5" dataDxfId="18"/>
    <tableColumn id="6" xr3:uid="{1DEAFC6B-8470-6742-BAB3-957B7429D133}" uniqueName="6" name="Poraba" queryTableFieldId="6" dataDxfId="17"/>
    <tableColumn id="11" xr3:uid="{911769A8-5CFE-8245-A64B-38797D90A3B5}" uniqueName="11" name="Prikaz" queryTableFieldId="11" dataDxfId="10">
      <calculatedColumnFormula>realna_poraba_cupra__2[[#This Row],[Poraba]]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6AF57-84FE-3944-82AB-DB7DC1C050CB}" name="Table3" displayName="Table3" ref="J2:K25" totalsRowShown="0" headerRowBorderDxfId="16" tableBorderDxfId="15" totalsRowBorderDxfId="14">
  <autoFilter ref="J2:K25" xr:uid="{E8D6AF57-84FE-3944-82AB-DB7DC1C050CB}"/>
  <sortState xmlns:xlrd2="http://schemas.microsoft.com/office/spreadsheetml/2017/richdata2" ref="J3:K25">
    <sortCondition ref="J2:J25"/>
  </sortState>
  <tableColumns count="2">
    <tableColumn id="1" xr3:uid="{0C7E1327-9FA7-3E43-8151-18CCECA1E09D}" name="Veljavnost" dataDxfId="11"/>
    <tableColumn id="2" xr3:uid="{079EA12A-47EB-F54A-8E37-30D8BCE75150}" name="Bencin" dataDxfId="13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CC9D-4E93-D44D-AE31-BECED325B0FB}">
  <dimension ref="B2:K26"/>
  <sheetViews>
    <sheetView tabSelected="1" zoomScale="120" zoomScaleNormal="120" workbookViewId="0">
      <selection activeCell="R24" sqref="R24"/>
    </sheetView>
  </sheetViews>
  <sheetFormatPr defaultColWidth="11.42578125" defaultRowHeight="15" x14ac:dyDescent="0.25"/>
  <cols>
    <col min="1" max="1" width="3.85546875" customWidth="1"/>
    <col min="2" max="2" width="13.42578125" customWidth="1"/>
    <col min="3" max="3" width="9.7109375" customWidth="1"/>
    <col min="4" max="4" width="9.28515625" customWidth="1"/>
    <col min="5" max="5" width="9.85546875" customWidth="1"/>
    <col min="6" max="6" width="7.42578125" customWidth="1"/>
    <col min="7" max="7" width="7.7109375" customWidth="1"/>
    <col min="8" max="8" width="9" customWidth="1"/>
    <col min="9" max="9" width="17.85546875" bestFit="1" customWidth="1"/>
    <col min="10" max="10" width="17.7109375" bestFit="1" customWidth="1"/>
    <col min="11" max="11" width="17.85546875" bestFit="1" customWidth="1"/>
    <col min="12" max="12" width="17.7109375" bestFit="1" customWidth="1"/>
    <col min="13" max="13" width="17.85546875" bestFit="1" customWidth="1"/>
    <col min="14" max="14" width="6.28515625" bestFit="1" customWidth="1"/>
    <col min="15" max="15" width="8.42578125" bestFit="1" customWidth="1"/>
    <col min="16" max="17" width="7.5703125" bestFit="1" customWidth="1"/>
    <col min="18" max="18" width="9.7109375" bestFit="1" customWidth="1"/>
    <col min="19" max="22" width="8" bestFit="1" customWidth="1"/>
    <col min="23" max="23" width="10.140625" bestFit="1" customWidth="1"/>
    <col min="24" max="25" width="7" bestFit="1" customWidth="1"/>
    <col min="26" max="26" width="9.140625" bestFit="1" customWidth="1"/>
    <col min="27" max="27" width="11.5703125" bestFit="1" customWidth="1"/>
  </cols>
  <sheetData>
    <row r="2" spans="2:11" x14ac:dyDescent="0.25">
      <c r="B2" t="s">
        <v>2</v>
      </c>
      <c r="C2" t="s">
        <v>3</v>
      </c>
      <c r="D2" t="s">
        <v>8</v>
      </c>
      <c r="E2" t="s">
        <v>5</v>
      </c>
      <c r="F2" t="s">
        <v>7</v>
      </c>
      <c r="G2" t="s">
        <v>6</v>
      </c>
      <c r="H2" t="s">
        <v>9</v>
      </c>
      <c r="J2" t="s">
        <v>1</v>
      </c>
      <c r="K2" t="s">
        <v>0</v>
      </c>
    </row>
    <row r="3" spans="2:11" x14ac:dyDescent="0.25">
      <c r="B3" s="4">
        <v>45051</v>
      </c>
      <c r="C3" s="2">
        <v>41.17</v>
      </c>
      <c r="D3" s="2">
        <f>INDEX(Table3[Bencin],MATCH(realna_poraba_cupra__2[[#This Row],[Datum]],Table3[Veljavnost],1))*realna_poraba_cupra__2[[#This Row],[Litri]]</f>
        <v>58.296720000000001</v>
      </c>
      <c r="E3" s="1">
        <v>41907</v>
      </c>
      <c r="F3" t="s">
        <v>4</v>
      </c>
      <c r="G3" t="s">
        <v>4</v>
      </c>
      <c r="H3" s="2" t="str">
        <f>realna_poraba_cupra__2[[#This Row],[Poraba]]</f>
        <v/>
      </c>
      <c r="J3" s="4">
        <v>44930</v>
      </c>
      <c r="K3" s="3">
        <v>1.276</v>
      </c>
    </row>
    <row r="4" spans="2:11" x14ac:dyDescent="0.25">
      <c r="B4" s="4">
        <v>45059</v>
      </c>
      <c r="C4" s="2">
        <v>43.02</v>
      </c>
      <c r="D4" s="2">
        <f>INDEX(Table3[Bencin],MATCH(realna_poraba_cupra__2[[#This Row],[Datum]],Table3[Veljavnost],1))*realna_poraba_cupra__2[[#This Row],[Litri]]</f>
        <v>59.797800000000002</v>
      </c>
      <c r="E4" s="1">
        <v>42521</v>
      </c>
      <c r="F4" s="1">
        <f>realna_poraba_cupra__2[[#This Row],[Števec]]-E3</f>
        <v>614</v>
      </c>
      <c r="G4" s="2">
        <f>100*realna_poraba_cupra__2[[#This Row],[Litri]]/realna_poraba_cupra__2[[#This Row],[Prevoženo]]</f>
        <v>7.006514657980456</v>
      </c>
      <c r="H4" s="2">
        <f>realna_poraba_cupra__2[[#This Row],[Poraba]]</f>
        <v>7.006514657980456</v>
      </c>
      <c r="J4" s="4">
        <v>44943</v>
      </c>
      <c r="K4" s="3">
        <v>1.288</v>
      </c>
    </row>
    <row r="5" spans="2:11" x14ac:dyDescent="0.25">
      <c r="B5" s="4">
        <v>45068</v>
      </c>
      <c r="C5" s="2">
        <v>41.67</v>
      </c>
      <c r="D5" s="2">
        <f>INDEX(Table3[Bencin],MATCH(realna_poraba_cupra__2[[#This Row],[Datum]],Table3[Veljavnost],1))*realna_poraba_cupra__2[[#This Row],[Litri]]</f>
        <v>57.921299999999995</v>
      </c>
      <c r="E5" s="1">
        <v>43181</v>
      </c>
      <c r="F5" s="1">
        <f>realna_poraba_cupra__2[[#This Row],[Števec]]-E4</f>
        <v>660</v>
      </c>
      <c r="G5" s="2">
        <f>100*realna_poraba_cupra__2[[#This Row],[Litri]]/realna_poraba_cupra__2[[#This Row],[Prevoženo]]</f>
        <v>6.3136363636363635</v>
      </c>
      <c r="H5" s="2">
        <f>realna_poraba_cupra__2[[#This Row],[Poraba]]</f>
        <v>6.3136363636363635</v>
      </c>
      <c r="J5" s="4">
        <v>44957</v>
      </c>
      <c r="K5" s="3">
        <v>1.355</v>
      </c>
    </row>
    <row r="6" spans="2:11" x14ac:dyDescent="0.25">
      <c r="B6" s="4">
        <v>45073</v>
      </c>
      <c r="C6" s="2">
        <v>34.04</v>
      </c>
      <c r="D6" s="2">
        <f>INDEX(Table3[Bencin],MATCH(realna_poraba_cupra__2[[#This Row],[Datum]],Table3[Veljavnost],1))*realna_poraba_cupra__2[[#This Row],[Litri]]</f>
        <v>47.043279999999996</v>
      </c>
      <c r="E6" s="1">
        <v>43696</v>
      </c>
      <c r="F6" s="1">
        <f>realna_poraba_cupra__2[[#This Row],[Števec]]-E5</f>
        <v>515</v>
      </c>
      <c r="G6" s="2">
        <f>100*realna_poraba_cupra__2[[#This Row],[Litri]]/realna_poraba_cupra__2[[#This Row],[Prevoženo]]</f>
        <v>6.6097087378640778</v>
      </c>
      <c r="H6" s="2">
        <f>realna_poraba_cupra__2[[#This Row],[Poraba]]</f>
        <v>6.6097087378640778</v>
      </c>
      <c r="J6" s="4">
        <v>44971</v>
      </c>
      <c r="K6" s="3">
        <v>1.355</v>
      </c>
    </row>
    <row r="7" spans="2:11" x14ac:dyDescent="0.25">
      <c r="B7" s="4">
        <v>45085</v>
      </c>
      <c r="C7" s="2">
        <v>42.42</v>
      </c>
      <c r="D7" s="2">
        <f>INDEX(Table3[Bencin],MATCH(realna_poraba_cupra__2[[#This Row],[Datum]],Table3[Veljavnost],1))*realna_poraba_cupra__2[[#This Row],[Litri]]</f>
        <v>59.897039999999997</v>
      </c>
      <c r="E7" s="1">
        <v>44314</v>
      </c>
      <c r="F7" s="1">
        <f>realna_poraba_cupra__2[[#This Row],[Števec]]-E6</f>
        <v>618</v>
      </c>
      <c r="G7" s="2">
        <f>100*realna_poraba_cupra__2[[#This Row],[Litri]]/realna_poraba_cupra__2[[#This Row],[Prevoženo]]</f>
        <v>6.8640776699029127</v>
      </c>
      <c r="H7" s="2">
        <f>realna_poraba_cupra__2[[#This Row],[Poraba]]</f>
        <v>6.8640776699029127</v>
      </c>
      <c r="J7" s="4">
        <v>44985</v>
      </c>
      <c r="K7" s="3">
        <v>1.359</v>
      </c>
    </row>
    <row r="8" spans="2:11" x14ac:dyDescent="0.25">
      <c r="B8" s="4">
        <v>45093</v>
      </c>
      <c r="C8" s="2">
        <v>43.1</v>
      </c>
      <c r="D8" s="2">
        <f>INDEX(Table3[Bencin],MATCH(realna_poraba_cupra__2[[#This Row],[Datum]],Table3[Veljavnost],1))*realna_poraba_cupra__2[[#This Row],[Litri]]</f>
        <v>60.857199999999999</v>
      </c>
      <c r="E8" s="1">
        <v>44997</v>
      </c>
      <c r="F8" s="1">
        <f>realna_poraba_cupra__2[[#This Row],[Števec]]-E7</f>
        <v>683</v>
      </c>
      <c r="G8" s="2">
        <f>100*realna_poraba_cupra__2[[#This Row],[Litri]]/realna_poraba_cupra__2[[#This Row],[Prevoženo]]</f>
        <v>6.3103953147877014</v>
      </c>
      <c r="H8" s="2">
        <f>realna_poraba_cupra__2[[#This Row],[Poraba]]</f>
        <v>6.3103953147877014</v>
      </c>
      <c r="J8" s="4">
        <v>44999</v>
      </c>
      <c r="K8" s="3">
        <v>1.3740000000000001</v>
      </c>
    </row>
    <row r="9" spans="2:11" x14ac:dyDescent="0.25">
      <c r="B9" s="4">
        <v>45099</v>
      </c>
      <c r="C9" s="2">
        <v>38.18</v>
      </c>
      <c r="D9" s="2">
        <f>INDEX(Table3[Bencin],MATCH(realna_poraba_cupra__2[[#This Row],[Datum]],Table3[Veljavnost],1))*realna_poraba_cupra__2[[#This Row],[Litri]]</f>
        <v>54.368319999999997</v>
      </c>
      <c r="E9" s="1">
        <v>45546</v>
      </c>
      <c r="F9" s="1">
        <f>realna_poraba_cupra__2[[#This Row],[Števec]]-E8</f>
        <v>549</v>
      </c>
      <c r="G9" s="2">
        <f>100*realna_poraba_cupra__2[[#This Row],[Litri]]/realna_poraba_cupra__2[[#This Row],[Prevoženo]]</f>
        <v>6.9544626593806917</v>
      </c>
      <c r="H9" s="2">
        <f>realna_poraba_cupra__2[[#This Row],[Poraba]]</f>
        <v>6.9544626593806917</v>
      </c>
      <c r="J9" s="4">
        <v>45013</v>
      </c>
      <c r="K9" s="3">
        <v>1.3740000000000001</v>
      </c>
    </row>
    <row r="10" spans="2:11" x14ac:dyDescent="0.25">
      <c r="B10" s="4">
        <v>45113</v>
      </c>
      <c r="C10" s="2">
        <v>40.659999999999997</v>
      </c>
      <c r="D10" s="2">
        <f>INDEX(Table3[Bencin],MATCH(realna_poraba_cupra__2[[#This Row],[Datum]],Table3[Veljavnost],1))*realna_poraba_cupra__2[[#This Row],[Litri]]</f>
        <v>58.713039999999992</v>
      </c>
      <c r="E10" s="1">
        <v>46126</v>
      </c>
      <c r="F10" s="1">
        <f>realna_poraba_cupra__2[[#This Row],[Števec]]-E9</f>
        <v>580</v>
      </c>
      <c r="G10" s="2">
        <f>100*realna_poraba_cupra__2[[#This Row],[Litri]]/realna_poraba_cupra__2[[#This Row],[Prevoženo]]</f>
        <v>7.0103448275862057</v>
      </c>
      <c r="H10" s="2">
        <f>realna_poraba_cupra__2[[#This Row],[Poraba]]</f>
        <v>7.0103448275862057</v>
      </c>
      <c r="J10" s="4">
        <v>45028</v>
      </c>
      <c r="K10" s="3">
        <v>1.4159999999999999</v>
      </c>
    </row>
    <row r="11" spans="2:11" x14ac:dyDescent="0.25">
      <c r="B11" s="4">
        <v>45122</v>
      </c>
      <c r="C11" s="2">
        <v>39.17</v>
      </c>
      <c r="D11" s="2">
        <f>INDEX(Table3[Bencin],MATCH(realna_poraba_cupra__2[[#This Row],[Datum]],Table3[Veljavnost],1))*realna_poraba_cupra__2[[#This Row],[Litri]]</f>
        <v>56.561480000000003</v>
      </c>
      <c r="E11" s="1">
        <v>46687</v>
      </c>
      <c r="F11" s="1">
        <f>realna_poraba_cupra__2[[#This Row],[Števec]]-E10</f>
        <v>561</v>
      </c>
      <c r="G11" s="2">
        <f>100*realna_poraba_cupra__2[[#This Row],[Litri]]/realna_poraba_cupra__2[[#This Row],[Prevoženo]]</f>
        <v>6.9821746880570412</v>
      </c>
      <c r="H11" s="2">
        <f>realna_poraba_cupra__2[[#This Row],[Poraba]]</f>
        <v>6.9821746880570412</v>
      </c>
      <c r="J11" s="4">
        <v>45041</v>
      </c>
      <c r="K11" s="3">
        <v>1.4159999999999999</v>
      </c>
    </row>
    <row r="12" spans="2:11" x14ac:dyDescent="0.25">
      <c r="B12" s="4">
        <v>45129</v>
      </c>
      <c r="C12" s="2">
        <v>40.29</v>
      </c>
      <c r="D12" s="2">
        <f>INDEX(Table3[Bencin],MATCH(realna_poraba_cupra__2[[#This Row],[Datum]],Table3[Veljavnost],1))*realna_poraba_cupra__2[[#This Row],[Litri]]</f>
        <v>58.662239999999997</v>
      </c>
      <c r="E12" s="1">
        <v>47250</v>
      </c>
      <c r="F12" s="1">
        <f>realna_poraba_cupra__2[[#This Row],[Števec]]-E11</f>
        <v>563</v>
      </c>
      <c r="G12" s="2">
        <f>100*realna_poraba_cupra__2[[#This Row],[Litri]]/realna_poraba_cupra__2[[#This Row],[Prevoženo]]</f>
        <v>7.1563055062166967</v>
      </c>
      <c r="H12" s="2">
        <f>realna_poraba_cupra__2[[#This Row],[Poraba]]</f>
        <v>7.1563055062166967</v>
      </c>
      <c r="J12" s="4">
        <v>45055</v>
      </c>
      <c r="K12" s="3">
        <v>1.39</v>
      </c>
    </row>
    <row r="13" spans="2:11" x14ac:dyDescent="0.25">
      <c r="B13" s="4">
        <v>45138</v>
      </c>
      <c r="C13" s="2">
        <v>41.01</v>
      </c>
      <c r="D13" s="2">
        <f>INDEX(Table3[Bencin],MATCH(realna_poraba_cupra__2[[#This Row],[Datum]],Table3[Veljavnost],1))*realna_poraba_cupra__2[[#This Row],[Litri]]</f>
        <v>59.710559999999994</v>
      </c>
      <c r="E13" s="1">
        <v>47867</v>
      </c>
      <c r="F13" s="1">
        <f>realna_poraba_cupra__2[[#This Row],[Števec]]-E12</f>
        <v>617</v>
      </c>
      <c r="G13" s="2">
        <f>100*realna_poraba_cupra__2[[#This Row],[Litri]]/realna_poraba_cupra__2[[#This Row],[Prevoženo]]</f>
        <v>6.646677471636953</v>
      </c>
      <c r="H13" s="2">
        <f>realna_poraba_cupra__2[[#This Row],[Poraba]]</f>
        <v>6.646677471636953</v>
      </c>
      <c r="J13" s="4">
        <v>45069</v>
      </c>
      <c r="K13" s="3">
        <v>1.3819999999999999</v>
      </c>
    </row>
    <row r="14" spans="2:11" x14ac:dyDescent="0.25">
      <c r="B14" s="4">
        <v>45151</v>
      </c>
      <c r="C14" s="2">
        <v>37.18</v>
      </c>
      <c r="D14" s="2">
        <f>INDEX(Table3[Bencin],MATCH(realna_poraba_cupra__2[[#This Row],[Datum]],Table3[Veljavnost],1))*realna_poraba_cupra__2[[#This Row],[Litri]]</f>
        <v>56.178979999999996</v>
      </c>
      <c r="E14" s="1">
        <v>48407</v>
      </c>
      <c r="F14" s="1">
        <f>realna_poraba_cupra__2[[#This Row],[Števec]]-E13</f>
        <v>540</v>
      </c>
      <c r="G14" s="2">
        <f>100*realna_poraba_cupra__2[[#This Row],[Litri]]/realna_poraba_cupra__2[[#This Row],[Prevoženo]]</f>
        <v>6.8851851851851853</v>
      </c>
      <c r="H14" s="2">
        <f>realna_poraba_cupra__2[[#This Row],[Poraba]]</f>
        <v>6.8851851851851853</v>
      </c>
      <c r="J14" s="4">
        <v>45083</v>
      </c>
      <c r="K14" s="3">
        <v>1.4119999999999999</v>
      </c>
    </row>
    <row r="15" spans="2:11" x14ac:dyDescent="0.25">
      <c r="B15" s="4">
        <v>45163</v>
      </c>
      <c r="C15" s="2">
        <v>41.46</v>
      </c>
      <c r="D15" s="2">
        <f>INDEX(Table3[Bencin],MATCH(realna_poraba_cupra__2[[#This Row],[Datum]],Table3[Veljavnost],1))*realna_poraba_cupra__2[[#This Row],[Litri]]</f>
        <v>62.646059999999999</v>
      </c>
      <c r="E15" s="1">
        <v>49005</v>
      </c>
      <c r="F15" s="1">
        <f>realna_poraba_cupra__2[[#This Row],[Števec]]-E14</f>
        <v>598</v>
      </c>
      <c r="G15" s="2">
        <f>100*realna_poraba_cupra__2[[#This Row],[Litri]]/realna_poraba_cupra__2[[#This Row],[Prevoženo]]</f>
        <v>6.9331103678929766</v>
      </c>
      <c r="H15" s="2">
        <f>realna_poraba_cupra__2[[#This Row],[Poraba]]</f>
        <v>6.9331103678929766</v>
      </c>
      <c r="J15" s="4">
        <v>45097</v>
      </c>
      <c r="K15" s="3">
        <v>1.4239999999999999</v>
      </c>
    </row>
    <row r="16" spans="2:11" x14ac:dyDescent="0.25">
      <c r="B16" s="4">
        <v>45175</v>
      </c>
      <c r="C16" s="2">
        <v>35.97</v>
      </c>
      <c r="D16" s="2">
        <f>INDEX(Table3[Bencin],MATCH(realna_poraba_cupra__2[[#This Row],[Datum]],Table3[Veljavnost],1))*realna_poraba_cupra__2[[#This Row],[Litri]]</f>
        <v>55.537680000000002</v>
      </c>
      <c r="E16" s="1">
        <v>49480</v>
      </c>
      <c r="F16" s="1">
        <f>realna_poraba_cupra__2[[#This Row],[Števec]]-E15</f>
        <v>475</v>
      </c>
      <c r="G16" s="2">
        <f>100*realna_poraba_cupra__2[[#This Row],[Litri]]/realna_poraba_cupra__2[[#This Row],[Prevoženo]]</f>
        <v>7.5726315789473686</v>
      </c>
      <c r="H16" s="2">
        <f>realna_poraba_cupra__2[[#This Row],[Poraba]]</f>
        <v>7.5726315789473686</v>
      </c>
      <c r="J16" s="4">
        <v>45111</v>
      </c>
      <c r="K16" s="3">
        <v>1.444</v>
      </c>
    </row>
    <row r="17" spans="2:11" x14ac:dyDescent="0.25">
      <c r="B17" s="4">
        <v>45184</v>
      </c>
      <c r="C17" s="2">
        <v>38.74</v>
      </c>
      <c r="D17" s="2">
        <f>INDEX(Table3[Bencin],MATCH(realna_poraba_cupra__2[[#This Row],[Datum]],Table3[Veljavnost],1))*realna_poraba_cupra__2[[#This Row],[Litri]]</f>
        <v>60.085740000000001</v>
      </c>
      <c r="E17" s="1">
        <v>50012</v>
      </c>
      <c r="F17" s="1">
        <f>realna_poraba_cupra__2[[#This Row],[Števec]]-E16</f>
        <v>532</v>
      </c>
      <c r="G17" s="2">
        <f>100*realna_poraba_cupra__2[[#This Row],[Litri]]/realna_poraba_cupra__2[[#This Row],[Prevoženo]]</f>
        <v>7.2819548872180455</v>
      </c>
      <c r="H17" s="2">
        <f>realna_poraba_cupra__2[[#This Row],[Poraba]]</f>
        <v>7.2819548872180455</v>
      </c>
      <c r="J17" s="4">
        <v>45125</v>
      </c>
      <c r="K17" s="3">
        <v>1.456</v>
      </c>
    </row>
    <row r="18" spans="2:11" x14ac:dyDescent="0.25">
      <c r="B18" s="4">
        <v>45191</v>
      </c>
      <c r="C18" s="2">
        <v>36.130000000000003</v>
      </c>
      <c r="D18" s="2">
        <f>INDEX(Table3[Bencin],MATCH(realna_poraba_cupra__2[[#This Row],[Datum]],Table3[Veljavnost],1))*realna_poraba_cupra__2[[#This Row],[Litri]]</f>
        <v>56.03763</v>
      </c>
      <c r="E18" s="1">
        <v>50458</v>
      </c>
      <c r="F18" s="1">
        <f>realna_poraba_cupra__2[[#This Row],[Števec]]-E17</f>
        <v>446</v>
      </c>
      <c r="G18" s="2">
        <f>100*realna_poraba_cupra__2[[#This Row],[Litri]]/realna_poraba_cupra__2[[#This Row],[Prevoženo]]</f>
        <v>8.1008968609865484</v>
      </c>
      <c r="H18" s="2">
        <f>realna_poraba_cupra__2[[#This Row],[Poraba]]</f>
        <v>8.1008968609865484</v>
      </c>
      <c r="J18" s="4">
        <v>45139</v>
      </c>
      <c r="K18" s="3">
        <v>1.5109999999999999</v>
      </c>
    </row>
    <row r="19" spans="2:11" x14ac:dyDescent="0.25">
      <c r="B19" s="4">
        <v>45198</v>
      </c>
      <c r="C19" s="2">
        <v>38.51</v>
      </c>
      <c r="D19" s="2">
        <f>INDEX(Table3[Bencin],MATCH(realna_poraba_cupra__2[[#This Row],[Datum]],Table3[Veljavnost],1))*realna_poraba_cupra__2[[#This Row],[Litri]]</f>
        <v>61.153880000000001</v>
      </c>
      <c r="E19" s="1">
        <v>50991</v>
      </c>
      <c r="F19" s="1">
        <f>realna_poraba_cupra__2[[#This Row],[Števec]]-E18</f>
        <v>533</v>
      </c>
      <c r="G19" s="2">
        <f>100*realna_poraba_cupra__2[[#This Row],[Litri]]/realna_poraba_cupra__2[[#This Row],[Prevoženo]]</f>
        <v>7.2251407129455911</v>
      </c>
      <c r="H19" s="2">
        <f>realna_poraba_cupra__2[[#This Row],[Poraba]]</f>
        <v>7.2251407129455911</v>
      </c>
      <c r="J19" s="4">
        <v>45155</v>
      </c>
      <c r="K19" s="3">
        <v>1.5109999999999999</v>
      </c>
    </row>
    <row r="20" spans="2:11" x14ac:dyDescent="0.25">
      <c r="B20" s="4">
        <v>45205</v>
      </c>
      <c r="C20" s="2">
        <v>38.840000000000003</v>
      </c>
      <c r="D20" s="2">
        <f>INDEX(Table3[Bencin],MATCH(realna_poraba_cupra__2[[#This Row],[Datum]],Table3[Veljavnost],1))*realna_poraba_cupra__2[[#This Row],[Litri]]</f>
        <v>61.677920000000007</v>
      </c>
      <c r="E20" s="1">
        <v>51593</v>
      </c>
      <c r="F20" s="1">
        <f>realna_poraba_cupra__2[[#This Row],[Števec]]-E19</f>
        <v>602</v>
      </c>
      <c r="G20" s="2">
        <f>100*realna_poraba_cupra__2[[#This Row],[Litri]]/realna_poraba_cupra__2[[#This Row],[Prevoženo]]</f>
        <v>6.4518272425249181</v>
      </c>
      <c r="H20" s="2">
        <f>realna_poraba_cupra__2[[#This Row],[Poraba]]</f>
        <v>6.4518272425249181</v>
      </c>
      <c r="J20" s="4">
        <v>45167</v>
      </c>
      <c r="K20" s="3">
        <v>1.544</v>
      </c>
    </row>
    <row r="21" spans="2:11" x14ac:dyDescent="0.25">
      <c r="B21" s="4">
        <v>45213</v>
      </c>
      <c r="C21" s="2">
        <v>41.73</v>
      </c>
      <c r="D21" s="2">
        <f>INDEX(Table3[Bencin],MATCH(realna_poraba_cupra__2[[#This Row],[Datum]],Table3[Veljavnost],1))*realna_poraba_cupra__2[[#This Row],[Litri]]</f>
        <v>64.097279999999998</v>
      </c>
      <c r="E21" s="1">
        <v>52176</v>
      </c>
      <c r="F21" s="1">
        <f>realna_poraba_cupra__2[[#This Row],[Števec]]-E20</f>
        <v>583</v>
      </c>
      <c r="G21" s="2">
        <f>100*realna_poraba_cupra__2[[#This Row],[Litri]]/realna_poraba_cupra__2[[#This Row],[Prevoženo]]</f>
        <v>7.1578044596912518</v>
      </c>
      <c r="H21" s="2">
        <f>realna_poraba_cupra__2[[#This Row],[Poraba]]</f>
        <v>7.1578044596912518</v>
      </c>
      <c r="J21" s="4">
        <v>45181</v>
      </c>
      <c r="K21" s="3">
        <v>1.5509999999999999</v>
      </c>
    </row>
    <row r="22" spans="2:11" x14ac:dyDescent="0.25">
      <c r="J22" s="4">
        <v>45195</v>
      </c>
      <c r="K22" s="3">
        <v>1.5880000000000001</v>
      </c>
    </row>
    <row r="23" spans="2:11" x14ac:dyDescent="0.25">
      <c r="C23" s="5" t="s">
        <v>16</v>
      </c>
      <c r="J23" s="4">
        <v>45209</v>
      </c>
      <c r="K23" s="3">
        <v>1.536</v>
      </c>
    </row>
    <row r="24" spans="2:11" x14ac:dyDescent="0.25">
      <c r="B24" s="5" t="s">
        <v>19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  <c r="J24" s="4">
        <v>45223</v>
      </c>
      <c r="K24" s="3">
        <v>1.536</v>
      </c>
    </row>
    <row r="25" spans="2:11" x14ac:dyDescent="0.25">
      <c r="B25" s="7" t="s">
        <v>17</v>
      </c>
      <c r="C25" s="6">
        <v>1789</v>
      </c>
      <c r="D25" s="6">
        <v>1850</v>
      </c>
      <c r="E25" s="6">
        <v>2321</v>
      </c>
      <c r="F25" s="6">
        <v>1138</v>
      </c>
      <c r="G25" s="6">
        <v>1986</v>
      </c>
      <c r="H25" s="6">
        <v>1185</v>
      </c>
      <c r="J25" s="4">
        <v>45237</v>
      </c>
      <c r="K25" s="3">
        <v>1.534</v>
      </c>
    </row>
    <row r="26" spans="2:11" x14ac:dyDescent="0.25">
      <c r="B26" s="7" t="s">
        <v>18</v>
      </c>
      <c r="C26" s="2">
        <v>6.643286586493633</v>
      </c>
      <c r="D26" s="2">
        <v>6.7096452146904353</v>
      </c>
      <c r="E26" s="2">
        <v>6.9488756233742235</v>
      </c>
      <c r="F26" s="2">
        <v>6.909147776539081</v>
      </c>
      <c r="G26" s="2">
        <v>7.5451560100243888</v>
      </c>
      <c r="H26" s="2">
        <v>6.804815851108085</v>
      </c>
    </row>
  </sheetData>
  <conditionalFormatting sqref="H4:H21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{D8A1AB30-D2FC-4C20-A961-28C279A0A954}</x14:id>
        </ext>
      </extLst>
    </cfRule>
  </conditionalFormatting>
  <pageMargins left="0.7" right="0.7" top="0.75" bottom="0.75" header="0.3" footer="0.3"/>
  <pageSetup paperSize="9" orientation="portrait" verticalDpi="0"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A1AB30-D2FC-4C20-A961-28C279A0A954}">
            <x14:dataBar minLength="0" maxLength="100" gradient="0">
              <x14:cfvo type="min"/>
              <x14:cfvo type="autoMax"/>
              <x14:negativeFillColor rgb="FFFF0000"/>
              <x14:axisColor rgb="FF000000"/>
            </x14:dataBar>
          </x14:cfRule>
          <xm:sqref>H4:H21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2D7D3-3902-A54A-97D2-DC6D0F0B49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Poraba</vt:lpstr>
    </vt:vector>
  </TitlesOfParts>
  <Company>FMF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Zaveršnik</dc:creator>
  <cp:lastModifiedBy>Wheeler, Reuben</cp:lastModifiedBy>
  <dcterms:created xsi:type="dcterms:W3CDTF">2007-10-01T06:54:22Z</dcterms:created>
  <dcterms:modified xsi:type="dcterms:W3CDTF">2025-12-05T13:06:38Z</dcterms:modified>
</cp:coreProperties>
</file>